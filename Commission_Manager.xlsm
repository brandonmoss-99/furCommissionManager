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andy/Desktop/"/>
    </mc:Choice>
  </mc:AlternateContent>
  <xr:revisionPtr revIDLastSave="0" documentId="13_ncr:1_{B9712A9E-8190-3E4E-965B-170D34C7BDE5}" xr6:coauthVersionLast="45" xr6:coauthVersionMax="45" xr10:uidLastSave="{00000000-0000-0000-0000-000000000000}"/>
  <bookViews>
    <workbookView xWindow="0" yWindow="460" windowWidth="28800" windowHeight="16000" xr2:uid="{69CB0DB6-9637-4832-82A9-DC7207FCF7FF}"/>
  </bookViews>
  <sheets>
    <sheet name="Frontend" sheetId="1" r:id="rId1"/>
    <sheet name="CommRecord" sheetId="4" r:id="rId2"/>
    <sheet name="CustRecord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1" l="1"/>
  <c r="C17" i="1"/>
  <c r="C16" i="1"/>
  <c r="C15" i="1"/>
  <c r="C13" i="1"/>
  <c r="C12" i="1"/>
  <c r="C11" i="1"/>
  <c r="C10" i="1"/>
  <c r="C9" i="1"/>
  <c r="C8" i="1"/>
  <c r="C7" i="1"/>
  <c r="C6" i="1"/>
  <c r="C14" i="1"/>
  <c r="C5" i="1"/>
  <c r="B10" i="1"/>
  <c r="B11" i="1"/>
  <c r="B12" i="1"/>
  <c r="B13" i="1"/>
  <c r="B9" i="1"/>
  <c r="B7" i="1"/>
  <c r="B8" i="1"/>
  <c r="B6" i="1"/>
  <c r="B16" i="1"/>
  <c r="B17" i="1"/>
  <c r="B18" i="1"/>
  <c r="B15" i="1"/>
</calcChain>
</file>

<file path=xl/sharedStrings.xml><?xml version="1.0" encoding="utf-8"?>
<sst xmlns="http://schemas.openxmlformats.org/spreadsheetml/2006/main" count="20" uniqueCount="19">
  <si>
    <t>Mode:</t>
  </si>
  <si>
    <t>Total Paid</t>
  </si>
  <si>
    <t>Found Via</t>
  </si>
  <si>
    <t>Experience</t>
  </si>
  <si>
    <t>Comm Type</t>
  </si>
  <si>
    <t>Twitter</t>
  </si>
  <si>
    <t>Telegram</t>
  </si>
  <si>
    <t>CustID</t>
  </si>
  <si>
    <t>CustName</t>
  </si>
  <si>
    <t>Email</t>
  </si>
  <si>
    <t>Furaffinity</t>
  </si>
  <si>
    <t>CommID</t>
  </si>
  <si>
    <t>Date Commissioned</t>
  </si>
  <si>
    <t>Total to pay</t>
  </si>
  <si>
    <t>Date of 1st payment</t>
  </si>
  <si>
    <t>Date of final payment</t>
  </si>
  <si>
    <t>*</t>
  </si>
  <si>
    <t>* = required, - = One of required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</si>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</sst>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;\-&quot;£&quot;#,##0.0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1" fillId="0" borderId="0" xfId="1"/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23</xdr:row>
      <xdr:rowOff>19050</xdr:rowOff>
    </xdr:from>
    <xdr:to>
      <xdr:col>2</xdr:col>
      <xdr:colOff>1771650</xdr:colOff>
      <xdr:row>26</xdr:row>
      <xdr:rowOff>76200</xdr:rowOff>
    </xdr:to>
    <xdr:sp macro="[0]!RectangleRoundedCorners1v2_Click" textlink="">
      <xdr:nvSpPr>
        <xdr:cNvPr id="3" name="Rectangle 2">
          <a:extLst>
            <a:ext uri="{FF2B5EF4-FFF2-40B4-BE49-F238E27FC236}">
              <a16:creationId xmlns:a16="http://schemas.microsoft.com/office/drawing/2014/main" id="{96BC0879-3B97-46DA-80E3-ED2CC5225BF3}"/>
            </a:ext>
          </a:extLst>
        </xdr:cNvPr>
        <xdr:cNvSpPr/>
      </xdr:nvSpPr>
      <xdr:spPr>
        <a:xfrm>
          <a:off x="1619250" y="4781550"/>
          <a:ext cx="1752600" cy="62865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/>
            <a:t>Go!</a:t>
          </a:r>
        </a:p>
      </xdr:txBody>
    </xdr:sp>
    <xdr:clientData/>
  </xdr:twoCellAnchor>
  <xdr:twoCellAnchor>
    <xdr:from>
      <xdr:col>3</xdr:col>
      <xdr:colOff>19050</xdr:colOff>
      <xdr:row>23</xdr:row>
      <xdr:rowOff>9525</xdr:rowOff>
    </xdr:from>
    <xdr:to>
      <xdr:col>3</xdr:col>
      <xdr:colOff>1771650</xdr:colOff>
      <xdr:row>26</xdr:row>
      <xdr:rowOff>66675</xdr:rowOff>
    </xdr:to>
    <xdr:sp macro="[0]!RectangleRoundedCorners1_clear" textlink="">
      <xdr:nvSpPr>
        <xdr:cNvPr id="4" name="Rectangle 3">
          <a:extLst>
            <a:ext uri="{FF2B5EF4-FFF2-40B4-BE49-F238E27FC236}">
              <a16:creationId xmlns:a16="http://schemas.microsoft.com/office/drawing/2014/main" id="{1E52A1B9-3566-415C-B9D0-F16797556501}"/>
            </a:ext>
          </a:extLst>
        </xdr:cNvPr>
        <xdr:cNvSpPr/>
      </xdr:nvSpPr>
      <xdr:spPr>
        <a:xfrm>
          <a:off x="4229100" y="4772025"/>
          <a:ext cx="1752600" cy="62865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87413-685F-4360-BDA2-9B5601952F10}">
  <sheetPr codeName="Sheet1"/>
  <dimension ref="B3:D18"/>
  <sheetViews>
    <sheetView tabSelected="1" workbookViewId="0">
      <selection activeCell="D3" sqref="D3"/>
    </sheetView>
  </sheetViews>
  <sheetFormatPr baseColWidth="10" defaultColWidth="8.83203125" defaultRowHeight="15" x14ac:dyDescent="0.2"/>
  <cols>
    <col min="1" max="1" width="5.5" customWidth="1"/>
    <col min="2" max="2" width="18.5" customWidth="1"/>
    <col min="3" max="3" width="39.1640625" customWidth="1"/>
    <col min="4" max="4" width="51.5" customWidth="1"/>
  </cols>
  <sheetData>
    <row r="3" spans="2:4" ht="32" x14ac:dyDescent="0.2">
      <c r="B3" s="10" t="s">
        <v>17</v>
      </c>
      <c r="C3" s="11" t="s">
        <v>0</v>
      </c>
      <c r="D3" s="12" t="s">
        <v>18</v>
      </c>
    </row>
    <row r="4" spans="2:4" x14ac:dyDescent="0.2">
      <c r="B4" s="6"/>
      <c r="C4" s="5"/>
      <c r="D4" s="8"/>
    </row>
    <row r="5" spans="2:4" x14ac:dyDescent="0.2">
      <c r="B5" s="7" t="s">
        <v>16</v>
      </c>
      <c r="C5" s="5" t="str">
        <f>IF(OR($D$3="Input",$D$3="Update User",$D$3="Search User"),"Furry Name",IF(OR($D$3="Update Commission", $D$3="Search Commission"),"CommID",""))</f>
        <v>Furry Name</v>
      </c>
      <c r="D5" s="9"/>
    </row>
    <row r="6" spans="2:4" x14ac:dyDescent="0.2">
      <c r="B6" s="7" t="str">
        <f>IF($D$3="Input","*",IF($D$3="Update Commission","-",""))</f>
        <v>*</v>
      </c>
      <c r="C6" s="5" t="str">
        <f>IF(OR($D$3="Input",$D$3="Update Commission",$D$3="Search Commission"),"Commission Type",IF($D$3="Search User","Customer ID",""))</f>
        <v>Commission Type</v>
      </c>
      <c r="D6" s="9"/>
    </row>
    <row r="7" spans="2:4" x14ac:dyDescent="0.2">
      <c r="B7" s="7" t="str">
        <f t="shared" ref="B7:B8" si="0">IF($D$3="Input","*",IF($D$3="Update Commission","-",""))</f>
        <v>*</v>
      </c>
      <c r="C7" s="5" t="str">
        <f>IF(OR($D$3 = "Input", $D$3 = "Update Commission",$D$3="Search Commission"),"Date Commissioned", IF($D$3 = "Search User","No. Times Commissioned",""))</f>
        <v>Date Commissioned</v>
      </c>
      <c r="D7" s="9"/>
    </row>
    <row r="8" spans="2:4" x14ac:dyDescent="0.2">
      <c r="B8" s="7" t="str">
        <f t="shared" si="0"/>
        <v>*</v>
      </c>
      <c r="C8" s="5" t="str">
        <f>IF(OR($D$3 = "Input", $D$3 = "Update Commission",$D$3="Search Commission"),"Total to Pay", IF($D$3 = "Search User","Avg Experience (1=Awful -&gt; 5=Excellent)", ""))</f>
        <v>Total to Pay</v>
      </c>
      <c r="D8" s="9"/>
    </row>
    <row r="9" spans="2:4" x14ac:dyDescent="0.2">
      <c r="B9" s="7" t="str">
        <f>IF($D$3 = "Input","",IF($D$3="Update Commission","-",""))</f>
        <v/>
      </c>
      <c r="C9" s="5" t="str">
        <f>IF(OR($D$3 = "Input", $D$3 = "Update Commission",$D$3="Search Commission"),"Date of first payment", "")</f>
        <v>Date of first payment</v>
      </c>
      <c r="D9" s="9"/>
    </row>
    <row r="10" spans="2:4" x14ac:dyDescent="0.2">
      <c r="B10" s="7" t="str">
        <f t="shared" ref="B10:B13" si="1">IF($D$3 = "Input","",IF($D$3="Update Commission","-",""))</f>
        <v/>
      </c>
      <c r="C10" s="5" t="str">
        <f>IF(OR($D$3 = "Input", $D$3 = "Update Commission",$D$3="Search Commission"),"Total paid", "")</f>
        <v>Total paid</v>
      </c>
      <c r="D10" s="9"/>
    </row>
    <row r="11" spans="2:4" x14ac:dyDescent="0.2">
      <c r="B11" s="7" t="str">
        <f t="shared" si="1"/>
        <v/>
      </c>
      <c r="C11" s="5" t="str">
        <f>IF(OR($D$3 = "Input", $D$3 = "Update Commission",$D$3="Search Commission"),"Date of final payment", "")</f>
        <v>Date of final payment</v>
      </c>
      <c r="D11" s="9"/>
    </row>
    <row r="12" spans="2:4" x14ac:dyDescent="0.2">
      <c r="B12" s="7" t="str">
        <f t="shared" si="1"/>
        <v/>
      </c>
      <c r="C12" s="5" t="str">
        <f>IF(OR($D$3 = "Input", $D$3 = "Update Commission",$D$3="Search Commission"),"Found Via", "")</f>
        <v>Found Via</v>
      </c>
      <c r="D12" s="9"/>
    </row>
    <row r="13" spans="2:4" x14ac:dyDescent="0.2">
      <c r="B13" s="7" t="str">
        <f t="shared" si="1"/>
        <v/>
      </c>
      <c r="C13" s="5" t="str">
        <f>IF(OR($D$3 = "Input", $D$3 = "Update Commission",$D$3="Search Commission"),"Experience (1=Awful -&gt; 5=Excellent)", "")</f>
        <v>Experience (1=Awful -&gt; 5=Excellent)</v>
      </c>
      <c r="D13" s="9"/>
    </row>
    <row r="14" spans="2:4" x14ac:dyDescent="0.2">
      <c r="B14" s="7"/>
      <c r="C14" s="5" t="str">
        <f>IF($D$3 = "Search Commission", "Name of Commissioner", "")</f>
        <v/>
      </c>
      <c r="D14" s="9"/>
    </row>
    <row r="15" spans="2:4" x14ac:dyDescent="0.2">
      <c r="B15" s="7" t="str">
        <f>IF($D$3 = "Update User","-", "")</f>
        <v/>
      </c>
      <c r="C15" s="5" t="str">
        <f>IF(OR($D$3 = "Input", $D$3 = "Update User", $D$3="Search User",$D$3="Search Commission"),"Twitter Username", "")</f>
        <v>Twitter Username</v>
      </c>
      <c r="D15" s="9"/>
    </row>
    <row r="16" spans="2:4" x14ac:dyDescent="0.2">
      <c r="B16" s="7" t="str">
        <f t="shared" ref="B16:B18" si="2">IF($D$3 = "Update User","-", "")</f>
        <v/>
      </c>
      <c r="C16" s="5" t="str">
        <f>IF(OR($D$3 = "Input", $D$3 = "Update User", $D$3="Search User",$D$3="Search Commission"),"Telegram Username", "")</f>
        <v>Telegram Username</v>
      </c>
      <c r="D16" s="9"/>
    </row>
    <row r="17" spans="2:4" x14ac:dyDescent="0.2">
      <c r="B17" s="7" t="str">
        <f t="shared" si="2"/>
        <v/>
      </c>
      <c r="C17" s="5" t="str">
        <f>IF(OR($D$3 = "Input", $D$3 = "Update User", $D$3="Search User",$D$3="Search Commission"),"Email Address", "")</f>
        <v>Email Address</v>
      </c>
      <c r="D17" s="9"/>
    </row>
    <row r="18" spans="2:4" x14ac:dyDescent="0.2">
      <c r="B18" s="7" t="str">
        <f t="shared" si="2"/>
        <v/>
      </c>
      <c r="C18" s="5" t="str">
        <f>IF(OR($D$3 = "Input", $D$3 = "Update User", $D$3="Search User",$D$3="Search Commission"),"Furaffinity Username", "")</f>
        <v>Furaffinity Username</v>
      </c>
      <c r="D18" s="9"/>
    </row>
  </sheetData>
  <dataValidations count="1">
    <dataValidation type="list" allowBlank="1" showInputMessage="1" showErrorMessage="1" sqref="D3" xr:uid="{235E5BB8-2CDF-4724-B855-C734CA2742D0}">
      <formula1>"Input, Update User, Update Commission, Search User, Search Commission"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9F98-0D2E-4081-B7BD-57FECE427671}">
  <sheetPr codeName="Sheet3"/>
  <dimension ref="A1:J41"/>
  <sheetViews>
    <sheetView workbookViewId="0">
      <selection activeCell="C31" sqref="C31"/>
    </sheetView>
  </sheetViews>
  <sheetFormatPr baseColWidth="10" defaultColWidth="8.83203125" defaultRowHeight="15" x14ac:dyDescent="0.2"/>
  <cols>
    <col min="3" max="3" width="18.33203125" customWidth="1"/>
    <col min="4" max="5" width="18.5" customWidth="1"/>
    <col min="6" max="6" width="18.1640625" customWidth="1"/>
    <col min="7" max="7" width="15.6640625" customWidth="1"/>
    <col min="8" max="8" width="21.83203125" customWidth="1"/>
    <col min="9" max="10" width="18.5" customWidth="1"/>
  </cols>
  <sheetData>
    <row r="1" spans="1:10" x14ac:dyDescent="0.2">
      <c r="A1" t="s">
        <v>11</v>
      </c>
      <c r="B1" t="s">
        <v>7</v>
      </c>
      <c r="C1" s="1" t="s">
        <v>4</v>
      </c>
      <c r="D1" s="1" t="s">
        <v>12</v>
      </c>
      <c r="E1" s="1" t="s">
        <v>13</v>
      </c>
      <c r="F1" s="1" t="s">
        <v>14</v>
      </c>
      <c r="G1" s="1" t="s">
        <v>1</v>
      </c>
      <c r="H1" s="1" t="s">
        <v>15</v>
      </c>
      <c r="I1" s="1" t="s">
        <v>2</v>
      </c>
      <c r="J1" s="1" t="s">
        <v>3</v>
      </c>
    </row>
    <row r="2" spans="1:10" x14ac:dyDescent="0.2">
      <c r="C2" s="2"/>
      <c r="D2" s="2"/>
      <c r="E2" s="3"/>
      <c r="F2" s="2"/>
      <c r="G2" s="3"/>
      <c r="H2" s="2"/>
    </row>
    <row r="3" spans="1:10" x14ac:dyDescent="0.2">
      <c r="C3" s="2"/>
      <c r="D3" s="2"/>
      <c r="E3" s="3"/>
      <c r="F3" s="2"/>
      <c r="G3" s="3"/>
      <c r="H3" s="2"/>
    </row>
    <row r="4" spans="1:10" x14ac:dyDescent="0.2">
      <c r="D4" s="2"/>
      <c r="E4" s="3"/>
      <c r="F4" s="2"/>
      <c r="G4" s="3"/>
      <c r="H4" s="2"/>
    </row>
    <row r="5" spans="1:10" x14ac:dyDescent="0.2">
      <c r="D5" s="2"/>
      <c r="E5" s="3"/>
      <c r="F5" s="2"/>
      <c r="G5" s="3"/>
      <c r="H5" s="2"/>
    </row>
    <row r="6" spans="1:10" x14ac:dyDescent="0.2">
      <c r="D6" s="2"/>
      <c r="E6" s="3"/>
      <c r="F6" s="2"/>
      <c r="G6" s="3"/>
      <c r="H6" s="2"/>
    </row>
    <row r="7" spans="1:10" x14ac:dyDescent="0.2">
      <c r="D7" s="2"/>
      <c r="E7" s="3"/>
      <c r="F7" s="2"/>
      <c r="G7" s="3"/>
      <c r="H7" s="2"/>
    </row>
    <row r="8" spans="1:10" x14ac:dyDescent="0.2">
      <c r="D8" s="2"/>
      <c r="E8" s="3"/>
      <c r="F8" s="2"/>
      <c r="G8" s="3"/>
      <c r="H8" s="2"/>
    </row>
    <row r="9" spans="1:10" x14ac:dyDescent="0.2">
      <c r="D9" s="2"/>
      <c r="E9" s="3"/>
      <c r="F9" s="2"/>
      <c r="G9" s="3"/>
      <c r="H9" s="2"/>
    </row>
    <row r="10" spans="1:10" x14ac:dyDescent="0.2">
      <c r="D10" s="2"/>
      <c r="E10" s="3"/>
      <c r="F10" s="2"/>
      <c r="G10" s="3"/>
      <c r="H10" s="2"/>
    </row>
    <row r="11" spans="1:10" x14ac:dyDescent="0.2">
      <c r="D11" s="2"/>
      <c r="E11" s="3"/>
      <c r="F11" s="2"/>
      <c r="G11" s="3"/>
      <c r="H11" s="2"/>
    </row>
    <row r="12" spans="1:10" x14ac:dyDescent="0.2">
      <c r="D12" s="2"/>
      <c r="E12" s="3"/>
      <c r="F12" s="2"/>
      <c r="G12" s="3"/>
      <c r="H12" s="2"/>
    </row>
    <row r="13" spans="1:10" x14ac:dyDescent="0.2">
      <c r="D13" s="2"/>
      <c r="E13" s="3"/>
      <c r="F13" s="2"/>
      <c r="G13" s="3"/>
      <c r="H13" s="2"/>
    </row>
    <row r="14" spans="1:10" x14ac:dyDescent="0.2">
      <c r="D14" s="2"/>
      <c r="E14" s="3"/>
      <c r="F14" s="2"/>
      <c r="G14" s="3"/>
      <c r="H14" s="2"/>
    </row>
    <row r="15" spans="1:10" x14ac:dyDescent="0.2">
      <c r="D15" s="2"/>
      <c r="E15" s="3"/>
      <c r="F15" s="2"/>
      <c r="G15" s="3"/>
      <c r="H15" s="2"/>
    </row>
    <row r="16" spans="1:10" x14ac:dyDescent="0.2">
      <c r="D16" s="2"/>
      <c r="E16" s="3"/>
      <c r="F16" s="2"/>
      <c r="G16" s="3"/>
      <c r="H16" s="2"/>
    </row>
    <row r="17" spans="4:8" x14ac:dyDescent="0.2">
      <c r="D17" s="2"/>
      <c r="E17" s="3"/>
      <c r="F17" s="2"/>
      <c r="G17" s="3"/>
      <c r="H17" s="2"/>
    </row>
    <row r="18" spans="4:8" x14ac:dyDescent="0.2">
      <c r="D18" s="2"/>
      <c r="E18" s="3"/>
      <c r="F18" s="2"/>
      <c r="G18" s="3"/>
      <c r="H18" s="2"/>
    </row>
    <row r="19" spans="4:8" x14ac:dyDescent="0.2">
      <c r="D19" s="2"/>
      <c r="E19" s="3"/>
      <c r="F19" s="2"/>
      <c r="G19" s="3"/>
      <c r="H19" s="2"/>
    </row>
    <row r="20" spans="4:8" x14ac:dyDescent="0.2">
      <c r="D20" s="2"/>
      <c r="E20" s="3"/>
      <c r="F20" s="2"/>
      <c r="G20" s="3"/>
      <c r="H20" s="2"/>
    </row>
    <row r="21" spans="4:8" x14ac:dyDescent="0.2">
      <c r="D21" s="2"/>
      <c r="E21" s="3"/>
      <c r="F21" s="2"/>
      <c r="G21" s="3"/>
      <c r="H21" s="2"/>
    </row>
    <row r="22" spans="4:8" x14ac:dyDescent="0.2">
      <c r="D22" s="2"/>
      <c r="E22" s="3"/>
      <c r="F22" s="2"/>
      <c r="G22" s="3"/>
      <c r="H22" s="2"/>
    </row>
    <row r="23" spans="4:8" x14ac:dyDescent="0.2">
      <c r="D23" s="2"/>
      <c r="E23" s="3"/>
      <c r="F23" s="2"/>
      <c r="G23" s="3"/>
      <c r="H23" s="2"/>
    </row>
    <row r="24" spans="4:8" x14ac:dyDescent="0.2">
      <c r="D24" s="2"/>
      <c r="E24" s="3"/>
      <c r="F24" s="2"/>
      <c r="G24" s="3"/>
      <c r="H24" s="2"/>
    </row>
    <row r="25" spans="4:8" x14ac:dyDescent="0.2">
      <c r="D25" s="2"/>
      <c r="E25" s="3"/>
      <c r="F25" s="2"/>
      <c r="G25" s="3"/>
      <c r="H25" s="2"/>
    </row>
    <row r="26" spans="4:8" x14ac:dyDescent="0.2">
      <c r="D26" s="2"/>
      <c r="E26" s="3"/>
      <c r="F26" s="2"/>
      <c r="G26" s="3"/>
      <c r="H26" s="2"/>
    </row>
    <row r="27" spans="4:8" x14ac:dyDescent="0.2">
      <c r="D27" s="2"/>
      <c r="E27" s="3"/>
      <c r="F27" s="2"/>
      <c r="G27" s="3"/>
      <c r="H27" s="2"/>
    </row>
    <row r="28" spans="4:8" x14ac:dyDescent="0.2">
      <c r="D28" s="2"/>
      <c r="E28" s="3"/>
      <c r="F28" s="2"/>
      <c r="G28" s="3"/>
      <c r="H28" s="2"/>
    </row>
    <row r="29" spans="4:8" x14ac:dyDescent="0.2">
      <c r="D29" s="2"/>
      <c r="E29" s="3"/>
      <c r="F29" s="2"/>
      <c r="G29" s="3"/>
      <c r="H29" s="2"/>
    </row>
    <row r="30" spans="4:8" x14ac:dyDescent="0.2">
      <c r="D30" s="2"/>
      <c r="E30" s="3"/>
      <c r="F30" s="2"/>
      <c r="G30" s="3"/>
      <c r="H30" s="2"/>
    </row>
    <row r="31" spans="4:8" x14ac:dyDescent="0.2">
      <c r="D31" s="2"/>
      <c r="E31" s="3"/>
      <c r="F31" s="2"/>
      <c r="G31" s="3"/>
      <c r="H31" s="2"/>
    </row>
    <row r="32" spans="4:8" x14ac:dyDescent="0.2">
      <c r="D32" s="2"/>
      <c r="E32" s="3"/>
      <c r="F32" s="2"/>
      <c r="G32" s="3"/>
      <c r="H32" s="2"/>
    </row>
    <row r="33" spans="4:8" x14ac:dyDescent="0.2">
      <c r="D33" s="2"/>
      <c r="E33" s="3"/>
      <c r="F33" s="2"/>
      <c r="G33" s="3"/>
      <c r="H33" s="2"/>
    </row>
    <row r="34" spans="4:8" x14ac:dyDescent="0.2">
      <c r="D34" s="2"/>
      <c r="E34" s="3"/>
      <c r="F34" s="2"/>
      <c r="G34" s="3"/>
      <c r="H34" s="2"/>
    </row>
    <row r="35" spans="4:8" x14ac:dyDescent="0.2">
      <c r="D35" s="2"/>
      <c r="E35" s="3"/>
      <c r="F35" s="2"/>
      <c r="G35" s="3"/>
      <c r="H35" s="2"/>
    </row>
    <row r="36" spans="4:8" x14ac:dyDescent="0.2">
      <c r="D36" s="2"/>
      <c r="E36" s="3"/>
      <c r="F36" s="2"/>
      <c r="G36" s="3"/>
      <c r="H36" s="2"/>
    </row>
    <row r="37" spans="4:8" x14ac:dyDescent="0.2">
      <c r="D37" s="2"/>
      <c r="E37" s="3"/>
      <c r="F37" s="2"/>
      <c r="G37" s="3"/>
      <c r="H37" s="2"/>
    </row>
    <row r="38" spans="4:8" x14ac:dyDescent="0.2">
      <c r="D38" s="2"/>
      <c r="E38" s="3"/>
      <c r="F38" s="2"/>
      <c r="G38" s="3"/>
      <c r="H38" s="2"/>
    </row>
    <row r="39" spans="4:8" x14ac:dyDescent="0.2">
      <c r="D39" s="2"/>
      <c r="E39" s="3"/>
      <c r="F39" s="2"/>
      <c r="G39" s="3"/>
      <c r="H39" s="2"/>
    </row>
    <row r="40" spans="4:8" x14ac:dyDescent="0.2">
      <c r="D40" s="2"/>
      <c r="E40" s="3"/>
      <c r="F40" s="2"/>
      <c r="G40" s="3"/>
      <c r="H40" s="2"/>
    </row>
    <row r="41" spans="4:8" x14ac:dyDescent="0.2">
      <c r="D41" s="2"/>
      <c r="E41" s="3"/>
      <c r="F41" s="2"/>
      <c r="G41" s="3"/>
      <c r="H4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31FEC-8744-4A98-B554-41B3C45E9181}">
  <sheetPr codeName="Sheet4"/>
  <dimension ref="A1:F3"/>
  <sheetViews>
    <sheetView workbookViewId="0">
      <selection activeCell="B20" sqref="B20"/>
    </sheetView>
  </sheetViews>
  <sheetFormatPr baseColWidth="10" defaultColWidth="8.83203125" defaultRowHeight="15" x14ac:dyDescent="0.2"/>
  <cols>
    <col min="2" max="2" width="36.33203125" customWidth="1"/>
    <col min="3" max="4" width="18.5" customWidth="1"/>
    <col min="5" max="6" width="18.33203125" customWidth="1"/>
  </cols>
  <sheetData>
    <row r="1" spans="1:6" x14ac:dyDescent="0.2">
      <c r="A1" t="s">
        <v>7</v>
      </c>
      <c r="B1" t="s">
        <v>8</v>
      </c>
      <c r="C1" t="s">
        <v>5</v>
      </c>
      <c r="D1" t="s">
        <v>6</v>
      </c>
      <c r="E1" t="s">
        <v>9</v>
      </c>
      <c r="F1" t="s">
        <v>10</v>
      </c>
    </row>
    <row r="2" spans="1:6" x14ac:dyDescent="0.2">
      <c r="E2" s="4"/>
    </row>
    <row r="3" spans="1:6" x14ac:dyDescent="0.2">
      <c r="E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Frontend</vt:lpstr>
      <vt:lpstr>CommRecord</vt:lpstr>
      <vt:lpstr>CustRecord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brandy</dc:creator>
  <cp:lastModifiedBy>Brandon Moss</cp:lastModifiedBy>
  <dcterms:created xsi:type="dcterms:W3CDTF">2019-09-03T18:00:09Z</dcterms:created>
  <dcterms:modified xsi:type="dcterms:W3CDTF">2020-11-10T18:26:11Z</dcterms:modified>
</cp:coreProperties>
</file>